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otes\Dropbox\Teaching\AssetPricing\2026S2\Readings\"/>
    </mc:Choice>
  </mc:AlternateContent>
  <xr:revisionPtr revIDLastSave="0" documentId="13_ncr:1_{93BBDACD-5B13-4E15-8B3B-D15A444FEBBC}" xr6:coauthVersionLast="47" xr6:coauthVersionMax="47" xr10:uidLastSave="{00000000-0000-0000-0000-000000000000}"/>
  <bookViews>
    <workbookView xWindow="9120" yWindow="900" windowWidth="17790" windowHeight="14190" xr2:uid="{8BFA3A5E-F9FC-4DD9-B0CB-4A4E8FA535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B10" i="1"/>
  <c r="D10" i="1"/>
  <c r="D11" i="1" s="1"/>
  <c r="F10" i="1"/>
  <c r="B11" i="1"/>
  <c r="B12" i="1"/>
  <c r="B13" i="1"/>
  <c r="B14" i="1"/>
  <c r="B15" i="1"/>
  <c r="B16" i="1"/>
  <c r="E7" i="1"/>
  <c r="E8" i="1" s="1"/>
  <c r="E9" i="1" s="1"/>
  <c r="G9" i="1" s="1"/>
  <c r="G6" i="1"/>
  <c r="F6" i="1"/>
  <c r="B3" i="1"/>
  <c r="B8" i="1" s="1"/>
  <c r="E10" i="1" l="1"/>
  <c r="F11" i="1"/>
  <c r="D12" i="1"/>
  <c r="H6" i="1"/>
  <c r="J6" i="1" s="1"/>
  <c r="I6" i="1"/>
  <c r="G7" i="1"/>
  <c r="G8" i="1"/>
  <c r="B7" i="1"/>
  <c r="D7" i="1" s="1"/>
  <c r="F7" i="1" s="1"/>
  <c r="B9" i="1"/>
  <c r="G10" i="1" l="1"/>
  <c r="E11" i="1"/>
  <c r="F12" i="1"/>
  <c r="D13" i="1"/>
  <c r="H7" i="1"/>
  <c r="I7" i="1" s="1"/>
  <c r="K7" i="1" s="1"/>
  <c r="J7" i="1"/>
  <c r="L7" i="1" s="1"/>
  <c r="D8" i="1"/>
  <c r="F8" i="1" s="1"/>
  <c r="H8" i="1" s="1"/>
  <c r="I8" i="1" s="1"/>
  <c r="K8" i="1" s="1"/>
  <c r="H10" i="1" l="1"/>
  <c r="I10" i="1" s="1"/>
  <c r="K10" i="1" s="1"/>
  <c r="E12" i="1"/>
  <c r="G11" i="1"/>
  <c r="H11" i="1" s="1"/>
  <c r="F13" i="1"/>
  <c r="D14" i="1"/>
  <c r="J8" i="1"/>
  <c r="L8" i="1" s="1"/>
  <c r="D9" i="1"/>
  <c r="J10" i="1" l="1"/>
  <c r="L10" i="1" s="1"/>
  <c r="E13" i="1"/>
  <c r="G12" i="1"/>
  <c r="H12" i="1" s="1"/>
  <c r="J12" i="1" s="1"/>
  <c r="L12" i="1" s="1"/>
  <c r="J11" i="1"/>
  <c r="L11" i="1" s="1"/>
  <c r="I11" i="1"/>
  <c r="K11" i="1" s="1"/>
  <c r="F14" i="1"/>
  <c r="D15" i="1"/>
  <c r="F9" i="1"/>
  <c r="H9" i="1" s="1"/>
  <c r="I12" i="1" l="1"/>
  <c r="K12" i="1" s="1"/>
  <c r="I9" i="1"/>
  <c r="K9" i="1" s="1"/>
  <c r="J9" i="1"/>
  <c r="L9" i="1" s="1"/>
  <c r="E14" i="1"/>
  <c r="G13" i="1"/>
  <c r="H13" i="1" s="1"/>
  <c r="D16" i="1"/>
  <c r="F16" i="1" s="1"/>
  <c r="F15" i="1"/>
  <c r="J13" i="1" l="1"/>
  <c r="L13" i="1" s="1"/>
  <c r="I13" i="1"/>
  <c r="K13" i="1" s="1"/>
  <c r="G14" i="1"/>
  <c r="H14" i="1" s="1"/>
  <c r="E15" i="1"/>
  <c r="G15" i="1" l="1"/>
  <c r="H15" i="1" s="1"/>
  <c r="J15" i="1" s="1"/>
  <c r="L15" i="1" s="1"/>
  <c r="E16" i="1"/>
  <c r="J14" i="1"/>
  <c r="L14" i="1" s="1"/>
  <c r="I14" i="1"/>
  <c r="K14" i="1" s="1"/>
  <c r="I15" i="1"/>
  <c r="K15" i="1" s="1"/>
  <c r="G16" i="1" l="1"/>
  <c r="H16" i="1" s="1"/>
  <c r="H17" i="1" s="1"/>
  <c r="E17" i="1"/>
  <c r="I16" i="1" l="1"/>
  <c r="K16" i="1" s="1"/>
  <c r="J16" i="1"/>
  <c r="L16" i="1" s="1"/>
  <c r="H18" i="1"/>
</calcChain>
</file>

<file path=xl/sharedStrings.xml><?xml version="1.0" encoding="utf-8"?>
<sst xmlns="http://schemas.openxmlformats.org/spreadsheetml/2006/main" count="17" uniqueCount="13">
  <si>
    <t>QQQ</t>
  </si>
  <si>
    <t>Tbill</t>
  </si>
  <si>
    <t>TQQQ</t>
  </si>
  <si>
    <t>-2*Tbill</t>
  </si>
  <si>
    <t>3*QQQ</t>
  </si>
  <si>
    <t>w_f</t>
  </si>
  <si>
    <t>w_QQQ</t>
  </si>
  <si>
    <t xml:space="preserve">Leveraged ETF - Ejemplo TQQQ </t>
  </si>
  <si>
    <t>Retornos diarios</t>
  </si>
  <si>
    <t>Valor instrumento</t>
  </si>
  <si>
    <t>Exceso peso</t>
  </si>
  <si>
    <t>Retorno acumulado</t>
  </si>
  <si>
    <t>múltiplo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</si>
</sst>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D5E1-78A1-42FF-B111-5009D9C3E251}">
  <dimension ref="A1:L18"/>
  <sheetViews>
    <sheetView tabSelected="1" workbookViewId="0">
      <selection activeCell="F2" sqref="F2"/>
    </sheetView>
  </sheetViews>
  <sheetFormatPr baseColWidth="10" defaultRowHeight="15" x14ac:dyDescent="0.25"/>
  <cols>
    <col min="2" max="2" width="12" bestFit="1" customWidth="1"/>
    <col min="6" max="6" width="11.7109375" bestFit="1" customWidth="1"/>
  </cols>
  <sheetData>
    <row r="1" spans="1:12" x14ac:dyDescent="0.25">
      <c r="A1" t="s">
        <v>7</v>
      </c>
    </row>
    <row r="3" spans="1:12" x14ac:dyDescent="0.25">
      <c r="B3">
        <f>0.035/360</f>
        <v>9.722222222222223E-5</v>
      </c>
      <c r="D3">
        <v>-2</v>
      </c>
      <c r="E3">
        <v>3</v>
      </c>
    </row>
    <row r="4" spans="1:12" x14ac:dyDescent="0.25">
      <c r="B4" t="s">
        <v>8</v>
      </c>
      <c r="D4" t="s">
        <v>9</v>
      </c>
      <c r="K4" s="2" t="s">
        <v>10</v>
      </c>
      <c r="L4" s="2"/>
    </row>
    <row r="5" spans="1:12" x14ac:dyDescent="0.25">
      <c r="B5" t="s">
        <v>1</v>
      </c>
      <c r="C5" t="s">
        <v>0</v>
      </c>
      <c r="D5" t="s">
        <v>1</v>
      </c>
      <c r="E5" t="s">
        <v>0</v>
      </c>
      <c r="F5" s="1" t="s">
        <v>3</v>
      </c>
      <c r="G5" t="s">
        <v>4</v>
      </c>
      <c r="H5" t="s">
        <v>2</v>
      </c>
      <c r="I5" t="s">
        <v>5</v>
      </c>
      <c r="J5" t="s">
        <v>6</v>
      </c>
      <c r="K5" s="2" t="s">
        <v>5</v>
      </c>
      <c r="L5" s="2" t="s">
        <v>6</v>
      </c>
    </row>
    <row r="6" spans="1:12" x14ac:dyDescent="0.25">
      <c r="A6">
        <v>0</v>
      </c>
      <c r="D6">
        <v>1</v>
      </c>
      <c r="E6">
        <v>1</v>
      </c>
      <c r="F6">
        <f>+$D$3*D6</f>
        <v>-2</v>
      </c>
      <c r="G6">
        <f>+$E$3*E6</f>
        <v>3</v>
      </c>
      <c r="H6">
        <f>SUM(F6:G6)</f>
        <v>1</v>
      </c>
      <c r="I6">
        <f>+F6/H6</f>
        <v>-2</v>
      </c>
      <c r="J6">
        <f>+G6/H6</f>
        <v>3</v>
      </c>
      <c r="K6" s="2"/>
      <c r="L6" s="2"/>
    </row>
    <row r="7" spans="1:12" x14ac:dyDescent="0.25">
      <c r="A7">
        <v>1</v>
      </c>
      <c r="B7">
        <f>+$B$3</f>
        <v>9.722222222222223E-5</v>
      </c>
      <c r="C7">
        <v>0.1</v>
      </c>
      <c r="D7">
        <f>+D6*(1+B7)</f>
        <v>1.0000972222222222</v>
      </c>
      <c r="E7">
        <f>+E6*(1+C7)</f>
        <v>1.1000000000000001</v>
      </c>
      <c r="F7">
        <f t="shared" ref="F7:F9" si="0">+$D$3*D7</f>
        <v>-2.0001944444444444</v>
      </c>
      <c r="G7">
        <f t="shared" ref="G7:G9" si="1">+$E$3*E7</f>
        <v>3.3000000000000003</v>
      </c>
      <c r="H7">
        <f t="shared" ref="H7:H9" si="2">SUM(F7:G7)</f>
        <v>1.2998055555555559</v>
      </c>
      <c r="I7">
        <f t="shared" ref="I7:I9" si="3">+F7/H7</f>
        <v>-1.538841279678584</v>
      </c>
      <c r="J7">
        <f t="shared" ref="J7:J9" si="4">+G7/H7</f>
        <v>2.538841279678584</v>
      </c>
      <c r="K7" s="2">
        <f>+I7-I$6</f>
        <v>0.46115872032141603</v>
      </c>
      <c r="L7" s="2">
        <f>+J7-J$6</f>
        <v>-0.46115872032141603</v>
      </c>
    </row>
    <row r="8" spans="1:12" x14ac:dyDescent="0.25">
      <c r="A8">
        <v>2</v>
      </c>
      <c r="B8">
        <f t="shared" ref="B8:B16" si="5">+$B$3</f>
        <v>9.722222222222223E-5</v>
      </c>
      <c r="C8">
        <v>-0.1</v>
      </c>
      <c r="D8">
        <f t="shared" ref="D8:D9" si="6">+D7*(1+B8)</f>
        <v>1.0001944538966048</v>
      </c>
      <c r="E8">
        <f t="shared" ref="E8:E9" si="7">+E7*(1+C8)</f>
        <v>0.9900000000000001</v>
      </c>
      <c r="F8">
        <f t="shared" si="0"/>
        <v>-2.0003889077932095</v>
      </c>
      <c r="G8">
        <f t="shared" si="1"/>
        <v>2.97</v>
      </c>
      <c r="H8">
        <f t="shared" si="2"/>
        <v>0.96961109220679065</v>
      </c>
      <c r="I8">
        <f t="shared" si="3"/>
        <v>-2.0630837702572231</v>
      </c>
      <c r="J8">
        <f t="shared" si="4"/>
        <v>3.0630837702572231</v>
      </c>
      <c r="K8" s="2">
        <f t="shared" ref="K8:K9" si="8">+I8-I$6</f>
        <v>-6.3083770257223115E-2</v>
      </c>
      <c r="L8" s="2">
        <f t="shared" ref="L8:L9" si="9">+J8-J$6</f>
        <v>6.3083770257223115E-2</v>
      </c>
    </row>
    <row r="9" spans="1:12" x14ac:dyDescent="0.25">
      <c r="A9">
        <v>3</v>
      </c>
      <c r="B9">
        <f t="shared" si="5"/>
        <v>9.722222222222223E-5</v>
      </c>
      <c r="C9">
        <v>0.1</v>
      </c>
      <c r="D9">
        <f t="shared" si="6"/>
        <v>1.000291695024067</v>
      </c>
      <c r="E9">
        <f t="shared" si="7"/>
        <v>1.0890000000000002</v>
      </c>
      <c r="F9">
        <f t="shared" si="0"/>
        <v>-2.000583390048134</v>
      </c>
      <c r="G9">
        <f t="shared" si="1"/>
        <v>3.2670000000000003</v>
      </c>
      <c r="H9">
        <f t="shared" si="2"/>
        <v>1.2664166099518663</v>
      </c>
      <c r="I9">
        <f t="shared" si="3"/>
        <v>-1.5797197970454382</v>
      </c>
      <c r="J9">
        <f t="shared" si="4"/>
        <v>2.579719797045438</v>
      </c>
      <c r="K9" s="2">
        <f t="shared" si="8"/>
        <v>0.42028020295456181</v>
      </c>
      <c r="L9" s="2">
        <f t="shared" si="9"/>
        <v>-0.42028020295456203</v>
      </c>
    </row>
    <row r="10" spans="1:12" x14ac:dyDescent="0.25">
      <c r="A10">
        <v>4</v>
      </c>
      <c r="B10">
        <f t="shared" si="5"/>
        <v>9.722222222222223E-5</v>
      </c>
      <c r="C10">
        <v>-0.1</v>
      </c>
      <c r="D10">
        <f t="shared" ref="D10:D16" si="10">+D9*(1+B10)</f>
        <v>1.0003889456055277</v>
      </c>
      <c r="E10">
        <f t="shared" ref="E10:E16" si="11">+E9*(1+C10)</f>
        <v>0.98010000000000019</v>
      </c>
      <c r="F10">
        <f t="shared" ref="F10:F16" si="12">+$D$3*D10</f>
        <v>-2.0007778912110554</v>
      </c>
      <c r="G10">
        <f t="shared" ref="G10:G16" si="13">+$E$3*E10</f>
        <v>2.9403000000000006</v>
      </c>
      <c r="H10">
        <f t="shared" ref="H10:H16" si="14">SUM(F10:G10)</f>
        <v>0.93952210878894515</v>
      </c>
      <c r="I10">
        <f t="shared" ref="I10:I16" si="15">+F10/H10</f>
        <v>-2.1295697807368059</v>
      </c>
      <c r="J10">
        <f t="shared" ref="J10:J16" si="16">+G10/H10</f>
        <v>3.1295697807368059</v>
      </c>
      <c r="K10" s="2">
        <f t="shared" ref="K10:K16" si="17">+I10-I$6</f>
        <v>-0.12956978073680592</v>
      </c>
      <c r="L10" s="2">
        <f t="shared" ref="L10:L16" si="18">+J10-J$6</f>
        <v>0.12956978073680592</v>
      </c>
    </row>
    <row r="11" spans="1:12" x14ac:dyDescent="0.25">
      <c r="A11">
        <v>5</v>
      </c>
      <c r="B11">
        <f t="shared" si="5"/>
        <v>9.722222222222223E-5</v>
      </c>
      <c r="C11">
        <v>0.1</v>
      </c>
      <c r="D11">
        <f t="shared" si="10"/>
        <v>1.0004862056419059</v>
      </c>
      <c r="E11">
        <f t="shared" si="11"/>
        <v>1.0781100000000003</v>
      </c>
      <c r="F11">
        <f t="shared" si="12"/>
        <v>-2.0009724112838119</v>
      </c>
      <c r="G11">
        <f t="shared" si="13"/>
        <v>3.2343300000000008</v>
      </c>
      <c r="H11">
        <f t="shared" si="14"/>
        <v>1.2333575887161889</v>
      </c>
      <c r="I11">
        <f t="shared" si="15"/>
        <v>-1.6223781566598532</v>
      </c>
      <c r="J11">
        <f t="shared" si="16"/>
        <v>2.622378156659853</v>
      </c>
      <c r="K11" s="2">
        <f t="shared" si="17"/>
        <v>0.37762184334014681</v>
      </c>
      <c r="L11" s="2">
        <f t="shared" si="18"/>
        <v>-0.37762184334014703</v>
      </c>
    </row>
    <row r="12" spans="1:12" x14ac:dyDescent="0.25">
      <c r="A12">
        <v>6</v>
      </c>
      <c r="B12">
        <f t="shared" si="5"/>
        <v>9.722222222222223E-5</v>
      </c>
      <c r="C12">
        <v>-0.1</v>
      </c>
      <c r="D12">
        <f t="shared" si="10"/>
        <v>1.0005834751341212</v>
      </c>
      <c r="E12">
        <f t="shared" si="11"/>
        <v>0.97029900000000036</v>
      </c>
      <c r="F12">
        <f t="shared" si="12"/>
        <v>-2.0011669502682423</v>
      </c>
      <c r="G12">
        <f t="shared" si="13"/>
        <v>2.9108970000000012</v>
      </c>
      <c r="H12">
        <f t="shared" si="14"/>
        <v>0.90973004973175886</v>
      </c>
      <c r="I12">
        <f t="shared" si="15"/>
        <v>-2.1997371097704228</v>
      </c>
      <c r="J12">
        <f t="shared" si="16"/>
        <v>3.1997371097704228</v>
      </c>
      <c r="K12" s="2">
        <f t="shared" si="17"/>
        <v>-0.1997371097704228</v>
      </c>
      <c r="L12" s="2">
        <f t="shared" si="18"/>
        <v>0.1997371097704228</v>
      </c>
    </row>
    <row r="13" spans="1:12" x14ac:dyDescent="0.25">
      <c r="A13">
        <v>7</v>
      </c>
      <c r="B13">
        <f t="shared" si="5"/>
        <v>9.722222222222223E-5</v>
      </c>
      <c r="C13">
        <v>0.1</v>
      </c>
      <c r="D13">
        <f t="shared" si="10"/>
        <v>1.0006807540830924</v>
      </c>
      <c r="E13">
        <f t="shared" si="11"/>
        <v>1.0673289000000006</v>
      </c>
      <c r="F13">
        <f t="shared" si="12"/>
        <v>-2.0013615081661849</v>
      </c>
      <c r="G13">
        <f t="shared" si="13"/>
        <v>3.2019867000000017</v>
      </c>
      <c r="H13">
        <f t="shared" si="14"/>
        <v>1.2006251918338169</v>
      </c>
      <c r="I13">
        <f t="shared" si="15"/>
        <v>-1.6669327961620857</v>
      </c>
      <c r="J13">
        <f t="shared" si="16"/>
        <v>2.6669327961620857</v>
      </c>
      <c r="K13" s="2">
        <f t="shared" si="17"/>
        <v>0.33306720383791433</v>
      </c>
      <c r="L13" s="2">
        <f t="shared" si="18"/>
        <v>-0.33306720383791433</v>
      </c>
    </row>
    <row r="14" spans="1:12" x14ac:dyDescent="0.25">
      <c r="A14">
        <v>8</v>
      </c>
      <c r="B14">
        <f t="shared" si="5"/>
        <v>9.722222222222223E-5</v>
      </c>
      <c r="C14">
        <v>-0.1</v>
      </c>
      <c r="D14">
        <f t="shared" si="10"/>
        <v>1.0007780424897395</v>
      </c>
      <c r="E14">
        <f t="shared" si="11"/>
        <v>0.9605960100000005</v>
      </c>
      <c r="F14">
        <f t="shared" si="12"/>
        <v>-2.0015560849794789</v>
      </c>
      <c r="G14">
        <f t="shared" si="13"/>
        <v>2.8817880300000014</v>
      </c>
      <c r="H14">
        <f t="shared" si="14"/>
        <v>0.88023194502052249</v>
      </c>
      <c r="I14">
        <f t="shared" si="15"/>
        <v>-2.2738962114500545</v>
      </c>
      <c r="J14">
        <f t="shared" si="16"/>
        <v>3.2738962114500545</v>
      </c>
      <c r="K14" s="2">
        <f t="shared" si="17"/>
        <v>-0.27389621145005449</v>
      </c>
      <c r="L14" s="2">
        <f t="shared" si="18"/>
        <v>0.27389621145005449</v>
      </c>
    </row>
    <row r="15" spans="1:12" x14ac:dyDescent="0.25">
      <c r="A15">
        <v>9</v>
      </c>
      <c r="B15">
        <f t="shared" si="5"/>
        <v>9.722222222222223E-5</v>
      </c>
      <c r="C15">
        <v>0.1</v>
      </c>
      <c r="D15">
        <f t="shared" si="10"/>
        <v>1.0008753403549815</v>
      </c>
      <c r="E15">
        <f t="shared" si="11"/>
        <v>1.0566556110000007</v>
      </c>
      <c r="F15">
        <f t="shared" si="12"/>
        <v>-2.001750680709963</v>
      </c>
      <c r="G15">
        <f t="shared" si="13"/>
        <v>3.1699668330000019</v>
      </c>
      <c r="H15">
        <f t="shared" si="14"/>
        <v>1.1682161522900389</v>
      </c>
      <c r="I15">
        <f t="shared" si="15"/>
        <v>-1.713510532092847</v>
      </c>
      <c r="J15">
        <f t="shared" si="16"/>
        <v>2.713510532092847</v>
      </c>
      <c r="K15" s="2">
        <f t="shared" si="17"/>
        <v>0.28648946790715302</v>
      </c>
      <c r="L15" s="2">
        <f t="shared" si="18"/>
        <v>-0.28648946790715302</v>
      </c>
    </row>
    <row r="16" spans="1:12" x14ac:dyDescent="0.25">
      <c r="A16">
        <v>10</v>
      </c>
      <c r="B16">
        <f t="shared" si="5"/>
        <v>9.722222222222223E-5</v>
      </c>
      <c r="C16">
        <v>-0.1</v>
      </c>
      <c r="D16">
        <f t="shared" si="10"/>
        <v>1.0009726476797383</v>
      </c>
      <c r="E16">
        <f t="shared" si="11"/>
        <v>0.95099004990000069</v>
      </c>
      <c r="F16">
        <f t="shared" si="12"/>
        <v>-2.0019452953594765</v>
      </c>
      <c r="G16">
        <f t="shared" si="13"/>
        <v>2.8529701497000022</v>
      </c>
      <c r="H16">
        <f t="shared" si="14"/>
        <v>0.85102485434052566</v>
      </c>
      <c r="I16">
        <f t="shared" si="15"/>
        <v>-2.352393452610523</v>
      </c>
      <c r="J16">
        <f t="shared" si="16"/>
        <v>3.352393452610523</v>
      </c>
      <c r="K16" s="2">
        <f t="shared" si="17"/>
        <v>-0.35239345261052302</v>
      </c>
      <c r="L16" s="2">
        <f t="shared" si="18"/>
        <v>0.35239345261052302</v>
      </c>
    </row>
    <row r="17" spans="1:8" x14ac:dyDescent="0.25">
      <c r="A17" s="3" t="s">
        <v>11</v>
      </c>
      <c r="B17" s="3"/>
      <c r="C17" s="3"/>
      <c r="D17" s="3">
        <f>+D16/D6-1</f>
        <v>9.7264767973825883E-4</v>
      </c>
      <c r="E17" s="3">
        <f>+E16/E6-1</f>
        <v>-4.9009950099999311E-2</v>
      </c>
      <c r="F17" s="3"/>
      <c r="G17" s="3"/>
      <c r="H17" s="3">
        <f>+H16/H6-1</f>
        <v>-0.14897514565947434</v>
      </c>
    </row>
    <row r="18" spans="1:8" x14ac:dyDescent="0.25">
      <c r="G18" s="4" t="s">
        <v>12</v>
      </c>
      <c r="H18" s="4">
        <f>+H17/E17</f>
        <v>3.0396918453397168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Martín Sotes Paladino</dc:creator>
  <cp:lastModifiedBy>Juan Martín Sotes Paladino</cp:lastModifiedBy>
  <dcterms:created xsi:type="dcterms:W3CDTF">2026-10-01T16:31:11Z</dcterms:created>
  <dcterms:modified xsi:type="dcterms:W3CDTF">2026-10-01T17:15:53Z</dcterms:modified>
</cp:coreProperties>
</file>